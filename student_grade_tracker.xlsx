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Data_sceince_Daily_notes\"/>
    </mc:Choice>
  </mc:AlternateContent>
  <xr:revisionPtr revIDLastSave="0" documentId="8_{650F7C6D-D161-4383-8D38-7BB70A9A95E1}" xr6:coauthVersionLast="47" xr6:coauthVersionMax="47" xr10:uidLastSave="{00000000-0000-0000-0000-000000000000}"/>
  <bookViews>
    <workbookView xWindow="-108" yWindow="-108" windowWidth="23256" windowHeight="12456" xr2:uid="{025C3669-0F0F-4EB0-82C0-E5F39308F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" i="1" l="1"/>
  <c r="L8" i="1"/>
  <c r="L9" i="1"/>
  <c r="L3" i="1"/>
  <c r="L4" i="1"/>
  <c r="L5" i="1"/>
  <c r="L6" i="1"/>
  <c r="L7" i="1"/>
  <c r="L2" i="1"/>
  <c r="K10" i="1"/>
  <c r="J10" i="1"/>
  <c r="K8" i="1"/>
  <c r="J8" i="1"/>
  <c r="G5" i="1"/>
  <c r="F6" i="1"/>
  <c r="G6" i="1" s="1"/>
  <c r="F3" i="1"/>
  <c r="G3" i="1" s="1"/>
  <c r="F7" i="1"/>
  <c r="G7" i="1" s="1"/>
  <c r="F5" i="1"/>
  <c r="F4" i="1"/>
  <c r="G4" i="1" s="1"/>
  <c r="E6" i="1"/>
  <c r="E3" i="1"/>
  <c r="E7" i="1"/>
  <c r="E5" i="1"/>
  <c r="E4" i="1"/>
</calcChain>
</file>

<file path=xl/sharedStrings.xml><?xml version="1.0" encoding="utf-8"?>
<sst xmlns="http://schemas.openxmlformats.org/spreadsheetml/2006/main" count="28" uniqueCount="28">
  <si>
    <t>total</t>
  </si>
  <si>
    <t>John</t>
  </si>
  <si>
    <t>Priya</t>
  </si>
  <si>
    <t>Ahmed</t>
  </si>
  <si>
    <t>Sneha</t>
  </si>
  <si>
    <t>Rahul</t>
  </si>
  <si>
    <t>Student Name</t>
  </si>
  <si>
    <t>Math</t>
  </si>
  <si>
    <t>Science</t>
  </si>
  <si>
    <t>English</t>
  </si>
  <si>
    <t>Average</t>
  </si>
  <si>
    <t>Grade</t>
  </si>
  <si>
    <t>Category</t>
  </si>
  <si>
    <t xml:space="preserve">    Estimated Amount</t>
  </si>
  <si>
    <t>Actual Amount</t>
  </si>
  <si>
    <t>Difference</t>
  </si>
  <si>
    <t>Rent</t>
  </si>
  <si>
    <t>Food</t>
  </si>
  <si>
    <t>Transport</t>
  </si>
  <si>
    <t>Internet</t>
  </si>
  <si>
    <t>Utilities</t>
  </si>
  <si>
    <t>Entertainment</t>
  </si>
  <si>
    <t>Total</t>
  </si>
  <si>
    <t>Savings</t>
  </si>
  <si>
    <r>
      <t xml:space="preserve">You planned (estimated) to spend ₹3000 on food → this is your </t>
    </r>
    <r>
      <rPr>
        <b/>
        <sz val="11"/>
        <color theme="1"/>
        <rFont val="Calibri"/>
        <family val="2"/>
        <scheme val="minor"/>
      </rPr>
      <t>Estimated Amount</t>
    </r>
    <r>
      <rPr>
        <sz val="11"/>
        <color theme="1"/>
        <rFont val="Calibri"/>
        <family val="2"/>
        <scheme val="minor"/>
      </rPr>
      <t>.</t>
    </r>
  </si>
  <si>
    <r>
      <t xml:space="preserve">But at the end of the month, you actually spent ₹2800 → this is your </t>
    </r>
    <r>
      <rPr>
        <b/>
        <sz val="11"/>
        <color theme="1"/>
        <rFont val="Calibri"/>
        <family val="2"/>
        <scheme val="minor"/>
      </rPr>
      <t>Actual Amount</t>
    </r>
    <r>
      <rPr>
        <sz val="11"/>
        <color theme="1"/>
        <rFont val="Calibri"/>
        <family val="2"/>
        <scheme val="minor"/>
      </rPr>
      <t>.</t>
    </r>
  </si>
  <si>
    <t>Income</t>
  </si>
  <si>
    <t>Track your monthly income, expenses, and savings using Excel. This helps manage your personal finances and understand where your money goes.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</si>
</sst>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2" borderId="0" xfId="0" applyFont="1" applyFill="1"/>
    <xf numFmtId="0" fontId="0" fillId="3" borderId="0" xfId="0" applyFill="1"/>
    <xf numFmtId="164" fontId="0" fillId="4" borderId="0" xfId="0" applyNumberFormat="1" applyFill="1"/>
    <xf numFmtId="0" fontId="1" fillId="5" borderId="1" xfId="0" applyFont="1" applyFill="1" applyBorder="1"/>
    <xf numFmtId="0" fontId="0" fillId="5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933251724839256E-2"/>
          <c:y val="0.17805161514210041"/>
          <c:w val="0.89019685039370078"/>
          <c:h val="0.670030985710119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Sheet1!$F$1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6"/>
                <c:pt idx="0">
                  <c:v>Student Name</c:v>
                </c:pt>
                <c:pt idx="1">
                  <c:v>Ahmed</c:v>
                </c:pt>
                <c:pt idx="2">
                  <c:v>John</c:v>
                </c:pt>
                <c:pt idx="3">
                  <c:v>Rahul</c:v>
                </c:pt>
                <c:pt idx="4">
                  <c:v>Priya</c:v>
                </c:pt>
                <c:pt idx="5">
                  <c:v>Sneha</c:v>
                </c:pt>
              </c:strCache>
            </c:strRef>
          </c:cat>
          <c:val>
            <c:numRef>
              <c:f>Sheet1!$F$2:$F$12</c:f>
              <c:numCache>
                <c:formatCode>General</c:formatCode>
                <c:ptCount val="11"/>
                <c:pt idx="0">
                  <c:v>0</c:v>
                </c:pt>
                <c:pt idx="1">
                  <c:v>91</c:v>
                </c:pt>
                <c:pt idx="2">
                  <c:v>85</c:v>
                </c:pt>
                <c:pt idx="3">
                  <c:v>80</c:v>
                </c:pt>
                <c:pt idx="4">
                  <c:v>71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D6-402A-9C5F-AED9D3AE7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0219791"/>
        <c:axId val="680224591"/>
      </c:barChart>
      <c:catAx>
        <c:axId val="68021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24591"/>
        <c:crosses val="autoZero"/>
        <c:auto val="1"/>
        <c:lblAlgn val="ctr"/>
        <c:lblOffset val="100"/>
        <c:noMultiLvlLbl val="0"/>
      </c:catAx>
      <c:valAx>
        <c:axId val="68022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19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165085</xdr:rowOff>
    </xdr:from>
    <xdr:to>
      <xdr:col>5</xdr:col>
      <xdr:colOff>651641</xdr:colOff>
      <xdr:row>16</xdr:row>
      <xdr:rowOff>31992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1185E5-A6BB-472D-949B-C4FF747080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9A07-37E7-4A63-A60C-5A39E994A501}">
  <dimension ref="A1:N16"/>
  <sheetViews>
    <sheetView tabSelected="1" zoomScale="130" workbookViewId="0">
      <selection activeCell="M10" sqref="M10"/>
    </sheetView>
  </sheetViews>
  <sheetFormatPr defaultRowHeight="14.4" x14ac:dyDescent="0.3"/>
  <cols>
    <col min="1" max="1" width="17.77734375" customWidth="1"/>
    <col min="2" max="2" width="11.21875" customWidth="1"/>
    <col min="3" max="3" width="10.88671875" customWidth="1"/>
    <col min="4" max="4" width="11" customWidth="1"/>
    <col min="5" max="5" width="8.33203125" customWidth="1"/>
    <col min="6" max="6" width="11.88671875" customWidth="1"/>
    <col min="7" max="7" width="10.21875" customWidth="1"/>
    <col min="9" max="9" width="8.5546875" bestFit="1" customWidth="1"/>
    <col min="10" max="10" width="18.6640625" bestFit="1" customWidth="1"/>
    <col min="11" max="11" width="13.77734375" bestFit="1" customWidth="1"/>
    <col min="12" max="12" width="9.6640625" bestFit="1" customWidth="1"/>
  </cols>
  <sheetData>
    <row r="1" spans="1:14" x14ac:dyDescent="0.3">
      <c r="I1" s="4" t="s">
        <v>12</v>
      </c>
      <c r="J1" s="4" t="s">
        <v>13</v>
      </c>
      <c r="K1" s="4" t="s">
        <v>14</v>
      </c>
      <c r="L1" s="4" t="s">
        <v>15</v>
      </c>
      <c r="N1" t="s">
        <v>27</v>
      </c>
    </row>
    <row r="2" spans="1:1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0</v>
      </c>
      <c r="F2" s="2" t="s">
        <v>10</v>
      </c>
      <c r="G2" s="2" t="s">
        <v>11</v>
      </c>
      <c r="I2" s="5" t="s">
        <v>16</v>
      </c>
      <c r="J2" s="6">
        <v>8000</v>
      </c>
      <c r="K2" s="6">
        <v>8000</v>
      </c>
      <c r="L2">
        <f>K2-J2</f>
        <v>0</v>
      </c>
    </row>
    <row r="3" spans="1:14" x14ac:dyDescent="0.3">
      <c r="A3" s="2" t="s">
        <v>3</v>
      </c>
      <c r="B3" s="1">
        <v>92</v>
      </c>
      <c r="C3" s="1">
        <v>88</v>
      </c>
      <c r="D3" s="1">
        <v>94</v>
      </c>
      <c r="E3">
        <f>SUM(B3:D3)</f>
        <v>274</v>
      </c>
      <c r="F3">
        <f>ROUND(AVERAGE(B3:D3),0)</f>
        <v>91</v>
      </c>
      <c r="G3" t="str">
        <f>IF(F3&gt;=90,"A",IF(F3&gt;=75,"B",IF(F3&gt;=60,"C",IF(F3&lt;60,"Fail"))))</f>
        <v>A</v>
      </c>
      <c r="I3" s="5" t="s">
        <v>17</v>
      </c>
      <c r="J3" s="6">
        <v>3000</v>
      </c>
      <c r="K3" s="6">
        <v>2800</v>
      </c>
      <c r="L3">
        <f t="shared" ref="L3:L9" si="0">K3-J3</f>
        <v>-200</v>
      </c>
    </row>
    <row r="4" spans="1:14" x14ac:dyDescent="0.3">
      <c r="A4" s="2" t="s">
        <v>1</v>
      </c>
      <c r="B4" s="1">
        <v>85</v>
      </c>
      <c r="C4" s="1">
        <v>90</v>
      </c>
      <c r="D4" s="1">
        <v>80</v>
      </c>
      <c r="E4">
        <f>SUM(B4:D4)</f>
        <v>255</v>
      </c>
      <c r="F4">
        <f>ROUND(AVERAGE(B4:D4),0)</f>
        <v>85</v>
      </c>
      <c r="G4" t="str">
        <f>IF(F4&gt;=90,"A",IF(F4&gt;=75,"B",IF(F4&gt;=60,"C",IF(F4&lt;60,"Fail"))))</f>
        <v>B</v>
      </c>
      <c r="I4" s="5" t="s">
        <v>18</v>
      </c>
      <c r="J4" s="6">
        <v>1000</v>
      </c>
      <c r="K4" s="6">
        <v>1200</v>
      </c>
      <c r="L4">
        <f t="shared" si="0"/>
        <v>200</v>
      </c>
    </row>
    <row r="5" spans="1:14" x14ac:dyDescent="0.3">
      <c r="A5" s="2" t="s">
        <v>5</v>
      </c>
      <c r="B5" s="1">
        <v>78</v>
      </c>
      <c r="C5" s="1">
        <v>82</v>
      </c>
      <c r="D5" s="1">
        <v>79</v>
      </c>
      <c r="E5">
        <f>SUM(B5:D5)</f>
        <v>239</v>
      </c>
      <c r="F5">
        <f>ROUND(AVERAGE(B5:D5),0)</f>
        <v>80</v>
      </c>
      <c r="G5" t="str">
        <f>IF(F5&gt;=90,"A",IF(F5&gt;=75,"B",IF(F5&gt;=60,"C",IF(F5&lt;60,"Fail"))))</f>
        <v>B</v>
      </c>
      <c r="I5" s="5" t="s">
        <v>19</v>
      </c>
      <c r="J5" s="6">
        <v>600</v>
      </c>
      <c r="K5" s="6">
        <v>600</v>
      </c>
      <c r="L5">
        <f t="shared" si="0"/>
        <v>0</v>
      </c>
    </row>
    <row r="6" spans="1:14" x14ac:dyDescent="0.3">
      <c r="A6" s="2" t="s">
        <v>2</v>
      </c>
      <c r="B6" s="1">
        <v>70</v>
      </c>
      <c r="C6" s="1">
        <v>75</v>
      </c>
      <c r="D6" s="1">
        <v>68</v>
      </c>
      <c r="E6">
        <f>SUM(B6:D6)</f>
        <v>213</v>
      </c>
      <c r="F6">
        <f>ROUND(AVERAGE(B6:D6),0)</f>
        <v>71</v>
      </c>
      <c r="G6" t="str">
        <f>IF(F6&gt;=90,"A",IF(F6&gt;=75,"B",IF(F6&gt;=60,"C",IF(F6&lt;60,"Fail"))))</f>
        <v>C</v>
      </c>
      <c r="I6" s="5" t="s">
        <v>20</v>
      </c>
      <c r="J6" s="6">
        <v>1200</v>
      </c>
      <c r="K6" s="6">
        <v>1100</v>
      </c>
      <c r="L6">
        <f t="shared" si="0"/>
        <v>-100</v>
      </c>
    </row>
    <row r="7" spans="1:14" x14ac:dyDescent="0.3">
      <c r="A7" s="2" t="s">
        <v>4</v>
      </c>
      <c r="B7" s="1">
        <v>60</v>
      </c>
      <c r="C7" s="1">
        <v>55</v>
      </c>
      <c r="D7" s="1">
        <v>65</v>
      </c>
      <c r="E7">
        <f>SUM(B7:D7)</f>
        <v>180</v>
      </c>
      <c r="F7">
        <f>ROUND(AVERAGE(B7:D7),0)</f>
        <v>60</v>
      </c>
      <c r="G7" t="str">
        <f>IF(F7&gt;=90,"A",IF(F7&gt;=75,"B",IF(F7&gt;=60,"C",IF(F7&lt;60,"Fail"))))</f>
        <v>C</v>
      </c>
      <c r="I7" s="5" t="s">
        <v>21</v>
      </c>
      <c r="J7" s="6">
        <v>2000</v>
      </c>
      <c r="K7" s="6">
        <v>2500</v>
      </c>
      <c r="L7">
        <f t="shared" si="0"/>
        <v>500</v>
      </c>
    </row>
    <row r="8" spans="1:14" ht="15" thickBot="1" x14ac:dyDescent="0.35">
      <c r="I8" s="7" t="s">
        <v>22</v>
      </c>
      <c r="J8" s="9">
        <f>SUM(J2:J7)</f>
        <v>15800</v>
      </c>
      <c r="K8" s="9">
        <f>SUM(K2:K7)</f>
        <v>16200</v>
      </c>
      <c r="L8">
        <f>K8-J8</f>
        <v>400</v>
      </c>
    </row>
    <row r="9" spans="1:14" ht="15" thickBot="1" x14ac:dyDescent="0.35">
      <c r="I9" s="7" t="s">
        <v>26</v>
      </c>
      <c r="J9" s="9">
        <v>16000</v>
      </c>
      <c r="K9" s="9">
        <v>16000</v>
      </c>
      <c r="L9">
        <f t="shared" si="0"/>
        <v>0</v>
      </c>
    </row>
    <row r="10" spans="1:14" x14ac:dyDescent="0.3">
      <c r="I10" s="8" t="s">
        <v>23</v>
      </c>
      <c r="J10" s="9">
        <f>J9-J8</f>
        <v>200</v>
      </c>
      <c r="K10" s="9">
        <f>K9-K8</f>
        <v>-200</v>
      </c>
      <c r="L10" s="3">
        <f>K10-J10</f>
        <v>-400</v>
      </c>
    </row>
    <row r="15" spans="1:14" x14ac:dyDescent="0.3">
      <c r="J15" t="s">
        <v>24</v>
      </c>
    </row>
    <row r="16" spans="1:14" x14ac:dyDescent="0.3">
      <c r="J16" t="s">
        <v>25</v>
      </c>
    </row>
  </sheetData>
  <sortState xmlns:xlrd2="http://schemas.microsoft.com/office/spreadsheetml/2017/richdata2" ref="A3:G12">
    <sortCondition descending="1" ref="F1:F12"/>
  </sortState>
  <conditionalFormatting sqref="F3:F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{07712672-A0FF-4AF6-AE8A-3EA45E40B472}</x14:id>
        </ext>
      </extLst>
    </cfRule>
  </conditionalFormatting>
  <conditionalFormatting sqref="G1:G2 G8:G104857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{6CDD88CE-023A-4D7B-B75E-FFB18ECBCDB3}</x14:id>
        </ext>
      </extLst>
    </cfRule>
  </conditionalFormatting>
  <conditionalFormatting sqref="G8:G1048576 G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{1FB64A4D-98B7-4E83-8390-F29C413051B1}</x14:id>
        </ext>
      </extLst>
    </cfRule>
    <cfRule type="colorScale" priority="12">
      <colorScale>
        <cfvo type="formula" val="$G$5"/>
        <cfvo type="formula" val="$G$4"/>
        <cfvo type="formula" val="$G$5"/>
        <color rgb="FFF8696B"/>
        <color rgb="FFFFEB84"/>
        <color rgb="FF63BE7B"/>
      </colorScale>
    </cfRule>
  </conditionalFormatting>
  <conditionalFormatting sqref="G13:G1048576 G2">
    <cfRule type="iconSet" priority="13">
      <iconSet iconSet="3Arrows">
        <cfvo type="percent" val="0"/>
        <cfvo type="percent" val="33"/>
        <cfvo type="percent" val="67"/>
      </iconSe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{9AC7400B-06BB-49BD-AE5D-56C50A841695}</x14:id>
        </ext>
      </extLst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4">
      <colorScale>
        <cfvo type="min"/>
        <cfvo type="max"/>
        <color rgb="FFFF0000"/>
        <color rgb="FF92D050"/>
      </colorScale>
    </cfRule>
  </conditionalFormatting>
  <conditionalFormatting sqref="L2:L10">
    <cfRule type="colorScale" priority="1">
      <colorScale>
        <cfvo type="num" val="0"/>
        <cfvo type="num" val="1"/>
        <color rgb="FFFF7128"/>
        <color rgb="FFFFEF9C"/>
      </colorScale>
    </cfRule>
  </conditionalFormatting>
  <dataValidations count="1">
    <dataValidation type="whole" allowBlank="1" showInputMessage="1" showErrorMessage="1" sqref="B3:E7" xr:uid="{B75BD0AD-627B-41BA-B118-0088CD5D4D38}">
      <formula1>0</formula1>
      <formula2>100</formula2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712672-A0FF-4AF6-AE8A-3EA45E40B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F3:F7</xm:sqref>
        </x14:conditionalFormatting>
        <x14:conditionalFormatting xmlns:xm="http://schemas.microsoft.com/office/excel/2006/main">
          <x14:cfRule type="dataBar" id="{6CDD88CE-023A-4D7B-B75E-FFB18ECBC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G1:G2 G8:G1048576</xm:sqref>
        </x14:conditionalFormatting>
        <x14:conditionalFormatting xmlns:xm="http://schemas.microsoft.com/office/excel/2006/main">
          <x14:cfRule type="dataBar" id="{1FB64A4D-98B7-4E83-8390-F29C413051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G8:G1048576 G2</xm:sqref>
        </x14:conditionalFormatting>
        <x14:conditionalFormatting xmlns:xm="http://schemas.microsoft.com/office/excel/2006/main">
          <x14:cfRule type="dataBar" id="{9AC7400B-06BB-49BD-AE5D-56C50A8416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G13:G1048576 G2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20P31A0421@acet.ac.in Sravs@123</dc:creator>
  <cp:lastModifiedBy>20P31A0421@acet.ac.in Sravs@123</cp:lastModifiedBy>
  <dcterms:created xsi:type="dcterms:W3CDTF">2025-04-30T10:20:37Z</dcterms:created>
  <dcterms:modified xsi:type="dcterms:W3CDTF">2025-04-30T12:18:13Z</dcterms:modified>
</cp:coreProperties>
</file>